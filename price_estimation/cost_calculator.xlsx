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00"/>
    <numFmt numFmtId="165" formatCode="₹#,##0.00"/>
    <numFmt numFmtId="166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1"/>
    </font>
    <font>
      <b val="1"/>
    </font>
    <font>
      <i val="1"/>
      <color rgb="000066CC"/>
      <sz val="10"/>
    </font>
    <font>
      <b val="1"/>
      <color rgb="00FFFFFF"/>
      <sz val="11"/>
    </font>
    <font>
      <b val="1"/>
      <sz val="12"/>
    </font>
    <font>
      <b val="1"/>
      <color rgb="00008000"/>
    </font>
    <font>
      <b val="1"/>
      <color rgb="000000FF"/>
    </font>
    <font>
      <i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B8CCE4"/>
        <bgColor rgb="00B8CCE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0" fillId="4" borderId="1" pivotButton="0" quotePrefix="0" xfId="0"/>
    <xf numFmtId="3" fontId="0" fillId="5" borderId="1" pivotButton="0" quotePrefix="0" xfId="0"/>
    <xf numFmtId="0" fontId="0" fillId="0" borderId="1" pivotButton="0" quotePrefix="0" xfId="0"/>
    <xf numFmtId="3" fontId="5" fillId="6" borderId="1" pivotButton="0" quotePrefix="0" xfId="0"/>
    <xf numFmtId="4" fontId="0" fillId="5" borderId="1" pivotButton="0" quotePrefix="0" xfId="0"/>
    <xf numFmtId="4" fontId="5" fillId="6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65" fontId="5" fillId="7" borderId="1" pivotButton="0" quotePrefix="0" xfId="0"/>
    <xf numFmtId="3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166" fontId="5" fillId="6" borderId="1" pivotButton="0" quotePrefix="0" xfId="0"/>
    <xf numFmtId="0" fontId="5" fillId="6" borderId="1" pivotButton="0" quotePrefix="0" xfId="0"/>
    <xf numFmtId="0" fontId="4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50" customWidth="1" min="4" max="4"/>
  </cols>
  <sheetData>
    <row r="1">
      <c r="A1" s="1" t="inlineStr">
        <is>
          <t>PDF to Markdown Conversion - Cost Calculator</t>
        </is>
      </c>
    </row>
    <row r="2">
      <c r="A2" s="2" t="inlineStr">
        <is>
          <t>Source: cases\input_files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</row>
    <row r="5">
      <c r="A5" s="4" t="inlineStr">
        <is>
          <t>INVENTORY DATA</t>
        </is>
      </c>
    </row>
    <row r="6">
      <c r="A6" s="5" t="inlineStr">
        <is>
          <t>Total Files</t>
        </is>
      </c>
      <c r="B6" s="6" t="n">
        <v>1574</v>
      </c>
      <c r="C6" s="7" t="inlineStr">
        <is>
          <t>files</t>
        </is>
      </c>
      <c r="D6" s="7" t="inlineStr">
        <is>
          <t>Number of PDF files to convert</t>
        </is>
      </c>
    </row>
    <row r="7">
      <c r="A7" s="5" t="inlineStr">
        <is>
          <t>Total Pages</t>
        </is>
      </c>
      <c r="B7" s="8" t="n">
        <v>143967</v>
      </c>
      <c r="C7" s="7" t="inlineStr">
        <is>
          <t>pages</t>
        </is>
      </c>
      <c r="D7" s="7" t="inlineStr">
        <is>
          <t>Total pages across all PDFs</t>
        </is>
      </c>
    </row>
    <row r="8">
      <c r="A8" s="5" t="inlineStr">
        <is>
          <t>Avg Pages per File</t>
        </is>
      </c>
      <c r="B8" s="9">
        <f>B6/B5</f>
        <v/>
      </c>
      <c r="C8" s="7" t="inlineStr">
        <is>
          <t>pages/file</t>
        </is>
      </c>
      <c r="D8" s="7" t="inlineStr">
        <is>
          <t>Average pages per PDF file</t>
        </is>
      </c>
    </row>
    <row r="10">
      <c r="A10" s="4" t="inlineStr">
        <is>
          <t>TOKEN CALCULATION</t>
        </is>
      </c>
    </row>
    <row r="11">
      <c r="A11" s="5" t="inlineStr">
        <is>
          <t>Characters per Page</t>
        </is>
      </c>
      <c r="B11" s="8" t="n">
        <v>500</v>
      </c>
      <c r="C11" s="7" t="inlineStr">
        <is>
          <t>chars</t>
        </is>
      </c>
      <c r="D11" s="7" t="inlineStr">
        <is>
          <t>Assumed characters per page</t>
        </is>
      </c>
    </row>
    <row r="12">
      <c r="A12" s="5" t="inlineStr">
        <is>
          <t>Characters per Token</t>
        </is>
      </c>
      <c r="B12" s="10" t="n">
        <v>4</v>
      </c>
      <c r="C12" s="7" t="inlineStr">
        <is>
          <t>chars/token</t>
        </is>
      </c>
      <c r="D12" s="7" t="inlineStr">
        <is>
          <t>Heuristic for token estimation</t>
        </is>
      </c>
    </row>
    <row r="13">
      <c r="A13" s="5" t="inlineStr">
        <is>
          <t>Tokens per Page (Output)</t>
        </is>
      </c>
      <c r="B13" s="10" t="n">
        <v>125</v>
      </c>
      <c r="C13" s="7" t="inlineStr">
        <is>
          <t>tokens</t>
        </is>
      </c>
      <c r="D13" s="7" t="inlineStr">
        <is>
          <t>Output tokens per page</t>
        </is>
      </c>
    </row>
    <row r="14">
      <c r="A14" s="5" t="inlineStr">
        <is>
          <t>Tokens per Image (Input)</t>
        </is>
      </c>
      <c r="B14" s="8" t="n">
        <v>258</v>
      </c>
      <c r="C14" s="7" t="inlineStr">
        <is>
          <t>tokens</t>
        </is>
      </c>
      <c r="D14" s="7" t="inlineStr">
        <is>
          <t>Vision API tokens per image</t>
        </is>
      </c>
    </row>
    <row r="15">
      <c r="A15" s="5" t="inlineStr">
        <is>
          <t>Prompt Overhead</t>
        </is>
      </c>
      <c r="B15" s="8" t="n">
        <v>300</v>
      </c>
      <c r="C15" s="7" t="inlineStr">
        <is>
          <t>tokens/request</t>
        </is>
      </c>
      <c r="D15" s="7" t="inlineStr">
        <is>
          <t>System prompt tokens per API request</t>
        </is>
      </c>
    </row>
    <row r="17">
      <c r="A17" s="4" t="inlineStr">
        <is>
          <t>CURRENCY</t>
        </is>
      </c>
    </row>
    <row r="18">
      <c r="A18" s="5" t="inlineStr">
        <is>
          <t>USD to INR Rate</t>
        </is>
      </c>
      <c r="B18" s="10" t="n">
        <v>89</v>
      </c>
      <c r="C18" s="7" t="inlineStr">
        <is>
          <t>INR/USD</t>
        </is>
      </c>
      <c r="D18" s="7" t="inlineStr">
        <is>
          <t>Exchange rate for currency conversion</t>
        </is>
      </c>
    </row>
    <row r="20">
      <c r="A20" s="4" t="inlineStr">
        <is>
          <t>COMPUTED VALUES</t>
        </is>
      </c>
    </row>
    <row r="21">
      <c r="A21" s="5" t="inlineStr">
        <is>
          <t>Total Requests</t>
        </is>
      </c>
      <c r="B21" s="9">
        <f>B6</f>
        <v/>
      </c>
      <c r="C21" s="7" t="inlineStr">
        <is>
          <t>requests</t>
        </is>
      </c>
      <c r="D21" s="7" t="inlineStr">
        <is>
          <t>1 request per page</t>
        </is>
      </c>
    </row>
    <row r="22">
      <c r="A22" s="5" t="inlineStr">
        <is>
          <t>Total Image Tokens</t>
        </is>
      </c>
      <c r="B22" s="9">
        <f>B6*B13</f>
        <v/>
      </c>
      <c r="C22" s="7" t="inlineStr">
        <is>
          <t>tokens</t>
        </is>
      </c>
      <c r="D22" s="7" t="inlineStr">
        <is>
          <t>Pages × Tokens per Image</t>
        </is>
      </c>
    </row>
    <row r="23">
      <c r="A23" s="5" t="inlineStr">
        <is>
          <t>Total Prompt Overhead</t>
        </is>
      </c>
      <c r="B23" s="9">
        <f>B19*B14</f>
        <v/>
      </c>
      <c r="C23" s="7" t="inlineStr">
        <is>
          <t>tokens</t>
        </is>
      </c>
      <c r="D23" s="7" t="inlineStr">
        <is>
          <t>Requests × Prompt Overhead</t>
        </is>
      </c>
    </row>
    <row r="24">
      <c r="A24" s="5" t="inlineStr">
        <is>
          <t>Total Input Tokens</t>
        </is>
      </c>
      <c r="B24" s="9">
        <f>B20+B21</f>
        <v/>
      </c>
      <c r="C24" s="7" t="inlineStr">
        <is>
          <t>tokens</t>
        </is>
      </c>
      <c r="D24" s="7" t="inlineStr">
        <is>
          <t>Image Tokens + Prompt Overhead</t>
        </is>
      </c>
    </row>
    <row r="25">
      <c r="A25" s="5" t="inlineStr">
        <is>
          <t>Total Output Tokens</t>
        </is>
      </c>
      <c r="B25" s="9">
        <f>B6*B12</f>
        <v/>
      </c>
      <c r="C25" s="7" t="inlineStr">
        <is>
          <t>tokens</t>
        </is>
      </c>
      <c r="D25" s="7" t="inlineStr">
        <is>
          <t>Pages × Tokens per Page</t>
        </is>
      </c>
    </row>
    <row r="28">
      <c r="A28" s="11" t="inlineStr">
        <is>
          <t>Note: Edit blue cells to update calculations. Results will update automatically.</t>
        </is>
      </c>
    </row>
  </sheetData>
  <mergeCells count="7">
    <mergeCell ref="A1:D1"/>
    <mergeCell ref="A5:D5"/>
    <mergeCell ref="A17:D17"/>
    <mergeCell ref="A20:D20"/>
    <mergeCell ref="A2:D2"/>
    <mergeCell ref="A10:D10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Estimation Results</t>
        </is>
      </c>
    </row>
    <row r="3" ht="30" customHeight="1">
      <c r="A3" s="12" t="inlineStr">
        <is>
          <t>Model</t>
        </is>
      </c>
      <c r="B3" s="12" t="inlineStr">
        <is>
          <t>Input Rate
(INR/1k)</t>
        </is>
      </c>
      <c r="C3" s="12" t="inlineStr">
        <is>
          <t>Output Rate
(INR/1k)</t>
        </is>
      </c>
      <c r="D3" s="12" t="inlineStr">
        <is>
          <t>Input Cost
(INR)</t>
        </is>
      </c>
      <c r="E3" s="12" t="inlineStr">
        <is>
          <t>Output Cost
(INR)</t>
        </is>
      </c>
      <c r="F3" s="12" t="inlineStr">
        <is>
          <t>Total Cost
(INR)</t>
        </is>
      </c>
      <c r="G3" s="12" t="inlineStr">
        <is>
          <t>Est. Time
(min)</t>
        </is>
      </c>
      <c r="H3" s="12" t="inlineStr">
        <is>
          <t>RPM</t>
        </is>
      </c>
    </row>
    <row r="4">
      <c r="A4" s="7" t="inlineStr">
        <is>
          <t>Gemini (Free Tier)</t>
        </is>
      </c>
      <c r="B4" s="13">
        <f>Models!B4*Configuration!$B$17/1000</f>
        <v/>
      </c>
      <c r="C4" s="13">
        <f>Models!C4*Configuration!$B$17/1000</f>
        <v/>
      </c>
      <c r="D4" s="14">
        <f>Configuration!$B$22/1000*B4</f>
        <v/>
      </c>
      <c r="E4" s="14">
        <f>Configuration!$B$23/1000*C4</f>
        <v/>
      </c>
      <c r="F4" s="15">
        <f>D4+E4</f>
        <v/>
      </c>
      <c r="G4" s="16">
        <f>MAX(CEILING((Configuration!$B$22+Configuration!$B$23)/Models!E4,1), CEILING(Configuration!$B$19/Models!D4,1))</f>
        <v/>
      </c>
      <c r="H4" s="16" t="n">
        <v>30</v>
      </c>
    </row>
    <row r="5">
      <c r="A5" s="7" t="inlineStr">
        <is>
          <t>Gemini (Tier 1, Flash)</t>
        </is>
      </c>
      <c r="B5" s="13">
        <f>Models!B5*Configuration!$B$17/1000</f>
        <v/>
      </c>
      <c r="C5" s="13">
        <f>Models!C5*Configuration!$B$17/1000</f>
        <v/>
      </c>
      <c r="D5" s="14">
        <f>Configuration!$B$22/1000*B5</f>
        <v/>
      </c>
      <c r="E5" s="14">
        <f>Configuration!$B$23/1000*C5</f>
        <v/>
      </c>
      <c r="F5" s="15">
        <f>D5+E5</f>
        <v/>
      </c>
      <c r="G5" s="16">
        <f>MAX(CEILING((Configuration!$B$22+Configuration!$B$23)/Models!E5,1), CEILING(Configuration!$B$19/Models!D5,1))</f>
        <v/>
      </c>
      <c r="H5" s="16" t="n">
        <v>1000</v>
      </c>
    </row>
    <row r="6">
      <c r="A6" s="7" t="inlineStr">
        <is>
          <t>GPT-5 (standard)</t>
        </is>
      </c>
      <c r="B6" s="13">
        <f>Models!B6*Configuration!$B$17/1000</f>
        <v/>
      </c>
      <c r="C6" s="13">
        <f>Models!C6*Configuration!$B$17/1000</f>
        <v/>
      </c>
      <c r="D6" s="14">
        <f>Configuration!$B$22/1000*B6</f>
        <v/>
      </c>
      <c r="E6" s="14">
        <f>Configuration!$B$23/1000*C6</f>
        <v/>
      </c>
      <c r="F6" s="15">
        <f>D6+E6</f>
        <v/>
      </c>
      <c r="G6" s="16">
        <f>CEILING((Configuration!$B$22+Configuration!$B$23)/Models!E6,1)</f>
        <v/>
      </c>
      <c r="H6" s="7" t="inlineStr">
        <is>
          <t>N/A</t>
        </is>
      </c>
    </row>
    <row r="7">
      <c r="A7" s="7" t="inlineStr">
        <is>
          <t>GPT-4.1 (standard)</t>
        </is>
      </c>
      <c r="B7" s="13">
        <f>Models!B7*Configuration!$B$17/1000</f>
        <v/>
      </c>
      <c r="C7" s="13">
        <f>Models!C7*Configuration!$B$17/1000</f>
        <v/>
      </c>
      <c r="D7" s="14">
        <f>Configuration!$B$22/1000*B7</f>
        <v/>
      </c>
      <c r="E7" s="14">
        <f>Configuration!$B$23/1000*C7</f>
        <v/>
      </c>
      <c r="F7" s="15">
        <f>D7+E7</f>
        <v/>
      </c>
      <c r="G7" s="16">
        <f>CEILING((Configuration!$B$22+Configuration!$B$23)/Models!E7,1)</f>
        <v/>
      </c>
      <c r="H7" s="7" t="inlineStr">
        <is>
          <t>N/A</t>
        </is>
      </c>
    </row>
    <row r="10">
      <c r="A10" s="17" t="inlineStr">
        <is>
          <t>SUMMARY</t>
        </is>
      </c>
    </row>
    <row r="11">
      <c r="A11" t="inlineStr">
        <is>
          <t>Cheapest Option:</t>
        </is>
      </c>
      <c r="B11" s="18">
        <f>INDEX(A4:A8,MATCH(MIN(F4:F8),F4:F8,0))</f>
        <v/>
      </c>
    </row>
    <row r="12">
      <c r="A12" t="inlineStr">
        <is>
          <t>Lowest Cost:</t>
        </is>
      </c>
      <c r="B12" s="19">
        <f>MIN(F4:F9)</f>
        <v/>
      </c>
    </row>
    <row r="13">
      <c r="A13" t="inlineStr">
        <is>
          <t>Fastest Option (excl. Free):</t>
        </is>
      </c>
      <c r="B13" s="20">
        <f>INDEX(A5:A9,MATCH(MIN(G5:G9),G5:G9,0))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 Pricing Configuration</t>
        </is>
      </c>
    </row>
    <row r="3" ht="30" customHeight="1">
      <c r="A3" s="12" t="inlineStr">
        <is>
          <t>Model Name</t>
        </is>
      </c>
      <c r="B3" s="12" t="inlineStr">
        <is>
          <t>Input
(USD/1M)</t>
        </is>
      </c>
      <c r="C3" s="12" t="inlineStr">
        <is>
          <t>Output
(USD/1M)</t>
        </is>
      </c>
      <c r="D3" s="12" t="inlineStr">
        <is>
          <t>RPM</t>
        </is>
      </c>
      <c r="E3" s="12" t="inlineStr">
        <is>
          <t>TPM</t>
        </is>
      </c>
      <c r="F3" s="12" t="inlineStr">
        <is>
          <t>RPD</t>
        </is>
      </c>
    </row>
    <row r="4">
      <c r="A4" s="7" t="inlineStr">
        <is>
          <t>Gemini (Free Tier)</t>
        </is>
      </c>
      <c r="B4" s="21" t="n">
        <v>0</v>
      </c>
      <c r="C4" s="21" t="n">
        <v>0</v>
      </c>
      <c r="D4" s="8" t="n">
        <v>30</v>
      </c>
      <c r="E4" s="8" t="n">
        <v>125000</v>
      </c>
      <c r="F4" s="8" t="n">
        <v>1000</v>
      </c>
    </row>
    <row r="5">
      <c r="A5" s="7" t="inlineStr">
        <is>
          <t>Gemini (Tier 1, Flash)</t>
        </is>
      </c>
      <c r="B5" s="21" t="n">
        <v>0.3</v>
      </c>
      <c r="C5" s="21" t="n">
        <v>2.5</v>
      </c>
      <c r="D5" s="8" t="n">
        <v>1000</v>
      </c>
      <c r="E5" s="8" t="n">
        <v>1000000</v>
      </c>
      <c r="F5" s="8" t="n">
        <v>10000</v>
      </c>
    </row>
    <row r="6">
      <c r="A6" s="7" t="inlineStr">
        <is>
          <t>GPT-5 (standard)</t>
        </is>
      </c>
      <c r="B6" s="21" t="n">
        <v>1.25</v>
      </c>
      <c r="C6" s="21" t="n">
        <v>10</v>
      </c>
      <c r="D6" s="22" t="inlineStr"/>
      <c r="E6" s="8" t="n">
        <v>1000000</v>
      </c>
      <c r="F6" s="22" t="inlineStr"/>
    </row>
    <row r="7">
      <c r="A7" s="7" t="inlineStr">
        <is>
          <t>GPT-4.1 (standard)</t>
        </is>
      </c>
      <c r="B7" s="21" t="n">
        <v>2</v>
      </c>
      <c r="C7" s="21" t="n">
        <v>8</v>
      </c>
      <c r="D7" s="22" t="inlineStr"/>
      <c r="E7" s="8" t="n">
        <v>500000</v>
      </c>
      <c r="F7" s="22" t="inlineStr"/>
    </row>
    <row r="10">
      <c r="A10" s="11" t="inlineStr">
        <is>
          <t>Note: Edit blue cells to modify pricing. Results sheet will update automatically.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Calculation Formulas Reference</t>
        </is>
      </c>
    </row>
    <row r="3">
      <c r="A3" s="23" t="inlineStr">
        <is>
          <t>TOKEN CALCULATION</t>
        </is>
      </c>
    </row>
    <row r="4">
      <c r="A4" t="inlineStr">
        <is>
          <t>Total Requests</t>
        </is>
      </c>
      <c r="B4" s="24">
        <f> Total Pages (1 request per page)</f>
        <v/>
      </c>
    </row>
    <row r="5">
      <c r="A5" t="inlineStr">
        <is>
          <t>Total Image Tokens</t>
        </is>
      </c>
      <c r="B5" s="24">
        <f> Total Pages × Tokens per Image</f>
        <v/>
      </c>
    </row>
    <row r="6">
      <c r="A6" t="inlineStr">
        <is>
          <t>Total Prompt Overhead</t>
        </is>
      </c>
      <c r="B6" s="24">
        <f> Total Requests × Prompt Overhead per Request</f>
        <v/>
      </c>
    </row>
    <row r="7">
      <c r="A7" t="inlineStr">
        <is>
          <t>Total Input Tokens</t>
        </is>
      </c>
      <c r="B7" s="24">
        <f> Image Tokens + Prompt Overhead</f>
        <v/>
      </c>
    </row>
    <row r="8">
      <c r="A8" t="inlineStr">
        <is>
          <t>Total Output Tokens</t>
        </is>
      </c>
      <c r="B8" s="24">
        <f> Total Pages × Tokens per Page (Output)</f>
        <v/>
      </c>
    </row>
    <row r="10">
      <c r="A10" s="23" t="inlineStr">
        <is>
          <t>COST CALCULATION</t>
        </is>
      </c>
    </row>
    <row r="11">
      <c r="A11" t="inlineStr">
        <is>
          <t>Input Rate (INR/1k)</t>
        </is>
      </c>
      <c r="B11" s="24">
        <f> (Input USD/1M) × USD_to_INR ÷ 1000</f>
        <v/>
      </c>
    </row>
    <row r="12">
      <c r="A12" t="inlineStr">
        <is>
          <t>Output Rate (INR/1k)</t>
        </is>
      </c>
      <c r="B12" s="24">
        <f> (Output USD/1M) × USD_to_INR ÷ 1000</f>
        <v/>
      </c>
    </row>
    <row r="13">
      <c r="A13" t="inlineStr">
        <is>
          <t>Input Cost (INR)</t>
        </is>
      </c>
      <c r="B13" s="24">
        <f> (Total Input Tokens ÷ 1000) × Input Rate</f>
        <v/>
      </c>
    </row>
    <row r="14">
      <c r="A14" t="inlineStr">
        <is>
          <t>Output Cost (INR)</t>
        </is>
      </c>
      <c r="B14" s="24">
        <f> (Total Output Tokens ÷ 1000) × Output Rate</f>
        <v/>
      </c>
    </row>
    <row r="15">
      <c r="A15" t="inlineStr">
        <is>
          <t>Total Cost (INR)</t>
        </is>
      </c>
      <c r="B15" s="24">
        <f> Input Cost + Output Cost</f>
        <v/>
      </c>
    </row>
    <row r="17">
      <c r="A17" s="23" t="inlineStr">
        <is>
          <t>TIME ESTIMATION</t>
        </is>
      </c>
    </row>
    <row r="18">
      <c r="A18" t="inlineStr">
        <is>
          <t>Time by Tokens (min)</t>
        </is>
      </c>
      <c r="B18" s="24">
        <f> CEILING((Input + Output Tokens) ÷ TPM, 1)</f>
        <v/>
      </c>
    </row>
    <row r="19">
      <c r="A19" t="inlineStr">
        <is>
          <t>Time by Requests (min)</t>
        </is>
      </c>
      <c r="B19" s="24">
        <f> CEILING(Total Requests ÷ RPM, 1)</f>
        <v/>
      </c>
    </row>
    <row r="20">
      <c r="A20" t="inlineStr">
        <is>
          <t>Estimated Time</t>
        </is>
      </c>
      <c r="B20" s="24">
        <f> MAX(Time by Tokens, Time by Requests)</f>
        <v/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2025-11-18T07:31:01Z</dcterms:created>
  <dcterms:modified xmlns:dcterms="http://purl.org/dc/terms/" xmlns:xsi="http://www.w3.org/2001/XMLSchema-instance" xsi:type="dcterms:W3CDTF">2025-11-18T07:31:01Z</dcterms:modified>
</cp:coreProperties>
</file>